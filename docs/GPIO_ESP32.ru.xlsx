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IO распиновка" sheetId="1" state="visible" r:id="rId1"/>
  </sheets>
  <definedNames>
    <definedName name="_xlnm._FilterDatabase" localSheetId="0" hidden="1">'GPIO распиновка'!$A$4:$G$42</definedName>
    <definedName name="_xlnm.Print_Titles" localSheetId="0">'GPIO распиновка'!$4:$4</definedName>
    <definedName name="_xlnm.Print_Area" localSheetId="0">'GPIO распиновка'!$A$1:$G$59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color rgb="00000000"/>
      <sz val="8"/>
    </font>
    <font>
      <name val="Arial"/>
      <b val="1"/>
      <color rgb="00000000"/>
      <sz val="8"/>
    </font>
    <font>
      <name val="Arial"/>
      <b val="1"/>
      <color rgb="00C00000"/>
      <sz val="8"/>
    </font>
    <font>
      <name val="Arial"/>
      <b val="1"/>
      <sz val="10"/>
    </font>
    <font>
      <name val="Arial"/>
      <sz val="8"/>
    </font>
    <font>
      <name val="Arial"/>
      <i val="1"/>
      <color rgb="00595959"/>
      <sz val="8"/>
    </font>
    <font>
      <name val="Arial"/>
      <sz val="9"/>
    </font>
    <font>
      <name val="Arial"/>
      <b val="1"/>
      <sz val="9"/>
    </font>
  </fonts>
  <fills count="10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E4DFEC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DEEAF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3" borderId="1" applyAlignment="1" pivotButton="0" quotePrefix="0" xfId="0">
      <alignment horizontal="left" vertical="center"/>
    </xf>
    <xf numFmtId="0" fontId="9" fillId="0" borderId="0" pivotButton="0" quotePrefix="0" xfId="0"/>
    <xf numFmtId="0" fontId="8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6" customWidth="1" min="3" max="3"/>
    <col width="14" customWidth="1" min="4" max="4"/>
    <col width="12" customWidth="1" min="5" max="5"/>
    <col width="40" customWidth="1" min="6" max="6"/>
    <col width="13" customWidth="1" min="7" max="7"/>
  </cols>
  <sheetData>
    <row r="1" ht="22" customHeight="1">
      <c r="A1" s="1" t="inlineStr">
        <is>
          <t>SMART GREENHOUSE — РАСПИНОВКА ESP32 DOIT DEVKIT V1</t>
        </is>
      </c>
    </row>
    <row r="2" ht="26" customHeight="1">
      <c r="A2" s="2" t="inlineStr">
        <is>
          <t>Версия прошивки 6.2. Резисторы и конденсаторы указаны явно там, где они обязательны. Пины GPIO34–39 — только вход, внутренней подтяжки не имеют.</t>
        </is>
      </c>
    </row>
    <row r="4" ht="30" customHeight="1">
      <c r="A4" s="3" t="inlineStr">
        <is>
          <t>Вывод платы</t>
        </is>
      </c>
      <c r="B4" s="3" t="inlineStr">
        <is>
          <t>GPIO / сигнал</t>
        </is>
      </c>
      <c r="C4" s="3" t="inlineStr">
        <is>
          <t>Назначение</t>
        </is>
      </c>
      <c r="D4" s="3" t="inlineStr">
        <is>
          <t>Резистор</t>
        </is>
      </c>
      <c r="E4" s="3" t="inlineStr">
        <is>
          <t>Конденс.</t>
        </is>
      </c>
      <c r="F4" s="3" t="inlineStr">
        <is>
          <t>Примечание</t>
        </is>
      </c>
      <c r="G4" s="3" t="inlineStr">
        <is>
          <t>Категория</t>
        </is>
      </c>
    </row>
    <row r="5" ht="24" customHeight="1">
      <c r="A5" s="4" t="inlineStr">
        <is>
          <t>1</t>
        </is>
      </c>
      <c r="B5" s="5" t="inlineStr">
        <is>
          <t>3.3V</t>
        </is>
      </c>
      <c r="C5" s="6" t="inlineStr">
        <is>
          <t>Питание датчиков (выход)</t>
        </is>
      </c>
      <c r="D5" s="4" t="inlineStr">
        <is>
          <t>—</t>
        </is>
      </c>
      <c r="E5" s="4" t="inlineStr">
        <is>
          <t>—</t>
        </is>
      </c>
      <c r="F5" s="6" t="inlineStr">
        <is>
          <t>Выход стабилизатора платы</t>
        </is>
      </c>
      <c r="G5" s="6" t="inlineStr">
        <is>
          <t>Питание</t>
        </is>
      </c>
    </row>
    <row r="6" ht="24" customHeight="1">
      <c r="A6" s="7" t="inlineStr">
        <is>
          <t>2</t>
        </is>
      </c>
      <c r="B6" s="7" t="inlineStr">
        <is>
          <t>EN</t>
        </is>
      </c>
      <c r="C6" s="8" t="inlineStr">
        <is>
          <t>—</t>
        </is>
      </c>
      <c r="D6" s="7" t="inlineStr">
        <is>
          <t>—</t>
        </is>
      </c>
      <c r="E6" s="7" t="inlineStr">
        <is>
          <t>—</t>
        </is>
      </c>
      <c r="F6" s="8" t="inlineStr">
        <is>
          <t>Не используется</t>
        </is>
      </c>
      <c r="G6" s="8" t="inlineStr">
        <is>
          <t>Не используется</t>
        </is>
      </c>
    </row>
    <row r="7" ht="24" customHeight="1">
      <c r="A7" s="9" t="inlineStr">
        <is>
          <t>3</t>
        </is>
      </c>
      <c r="B7" s="10" t="inlineStr">
        <is>
          <t>GPIO36</t>
        </is>
      </c>
      <c r="C7" s="11" t="inlineStr">
        <is>
          <t>YL-83 — датчик дождя, выход AO (аналоговый)</t>
        </is>
      </c>
      <c r="D7" s="9" t="inlineStr">
        <is>
          <t>нет</t>
        </is>
      </c>
      <c r="E7" s="9" t="inlineStr">
        <is>
          <t>нет</t>
        </is>
      </c>
      <c r="F7" s="11" t="inlineStr">
        <is>
          <t>ADC1_CH0. Меньше значение = сильнее дождь. Пороги RAIN_ADC_WET / RAIN_ADC_DRY в config.h, подбираются по строке [RAIN] raw=…</t>
        </is>
      </c>
      <c r="G7" s="11" t="inlineStr">
        <is>
          <t>Датчик</t>
        </is>
      </c>
    </row>
    <row r="8" ht="24" customHeight="1">
      <c r="A8" s="12" t="inlineStr">
        <is>
          <t>4</t>
        </is>
      </c>
      <c r="B8" s="13" t="inlineStr">
        <is>
          <t>GPIO39</t>
        </is>
      </c>
      <c r="C8" s="14" t="inlineStr">
        <is>
          <t>Кнопка «Насос» (ручное вкл/выкл)</t>
        </is>
      </c>
      <c r="D8" s="12" t="inlineStr">
        <is>
          <t>10 кОм → 3.3V (подтяжка вверх)</t>
        </is>
      </c>
      <c r="E8" s="12" t="inlineStr">
        <is>
          <t>100 нФ параллельно кнопке</t>
        </is>
      </c>
      <c r="F8" s="14" t="inlineStr">
        <is>
          <t>Второй контакт кнопки и конденсатора — на GND. Подтяжка ОБЯЗАТЕЛЬНА: у GPIO34-39 нет внутренней. Опрос, без прерывания (эррата GPIO36/39)</t>
        </is>
      </c>
      <c r="G8" s="14" t="inlineStr">
        <is>
          <t>Кнопка</t>
        </is>
      </c>
    </row>
    <row r="9" ht="24" customHeight="1">
      <c r="A9" s="9" t="inlineStr">
        <is>
          <t>5</t>
        </is>
      </c>
      <c r="B9" s="10" t="inlineStr">
        <is>
          <t>GPIO34</t>
        </is>
      </c>
      <c r="C9" s="11" t="inlineStr">
        <is>
          <t>AJ-SR04M — ECHO</t>
        </is>
      </c>
      <c r="D9" s="9" t="inlineStr">
        <is>
          <t>Делитель 1,5 кОм + 2,2 кОм</t>
        </is>
      </c>
      <c r="E9" s="9" t="inlineStr">
        <is>
          <t>нет</t>
        </is>
      </c>
      <c r="F9" s="11" t="inlineStr">
        <is>
          <t>1,5 кОм последовательно, 2,2 кОм с узла на GND (5V → ~2,65V)</t>
        </is>
      </c>
      <c r="G9" s="11" t="inlineStr">
        <is>
          <t>Датчик</t>
        </is>
      </c>
    </row>
    <row r="10" ht="24" customHeight="1">
      <c r="A10" s="12" t="inlineStr">
        <is>
          <t>6</t>
        </is>
      </c>
      <c r="B10" s="13" t="inlineStr">
        <is>
          <t>GPIO35</t>
        </is>
      </c>
      <c r="C10" s="14" t="inlineStr">
        <is>
          <t>Кнопка «Увлажнитель» (ручное вкл/выкл)</t>
        </is>
      </c>
      <c r="D10" s="12" t="inlineStr">
        <is>
          <t>10 кОм → 3.3V (подтяжка вверх)</t>
        </is>
      </c>
      <c r="E10" s="12" t="inlineStr">
        <is>
          <t>100 нФ параллельно кнопке</t>
        </is>
      </c>
      <c r="F10" s="14" t="inlineStr">
        <is>
          <t>Второй контакт кнопки и конденсатора — на GND. Подтяжка ОБЯЗАТЕЛЬНА: у GPIO34-39 нет внутренней</t>
        </is>
      </c>
      <c r="G10" s="14" t="inlineStr">
        <is>
          <t>Кнопка</t>
        </is>
      </c>
    </row>
    <row r="11" ht="24" customHeight="1">
      <c r="A11" s="15" t="inlineStr">
        <is>
          <t>7</t>
        </is>
      </c>
      <c r="B11" s="16" t="inlineStr">
        <is>
          <t>GPIO32</t>
        </is>
      </c>
      <c r="C11" s="17" t="inlineStr">
        <is>
          <t>Реле — Форточка ВЕРХ, открыть</t>
        </is>
      </c>
      <c r="D11" s="15" t="inlineStr">
        <is>
          <t>нет</t>
        </is>
      </c>
      <c r="E11" s="15" t="inlineStr">
        <is>
          <t>нет</t>
        </is>
      </c>
      <c r="F11" s="17" t="inlineStr">
        <is>
          <t>Канал 8-канального блока реле</t>
        </is>
      </c>
      <c r="G11" s="17" t="inlineStr">
        <is>
          <t>Реле</t>
        </is>
      </c>
    </row>
    <row r="12" ht="24" customHeight="1">
      <c r="A12" s="15" t="inlineStr">
        <is>
          <t>8</t>
        </is>
      </c>
      <c r="B12" s="16" t="inlineStr">
        <is>
          <t>GPIO33</t>
        </is>
      </c>
      <c r="C12" s="17" t="inlineStr">
        <is>
          <t>Реле — Форточка НИЗ, открыть</t>
        </is>
      </c>
      <c r="D12" s="15" t="inlineStr">
        <is>
          <t>нет</t>
        </is>
      </c>
      <c r="E12" s="15" t="inlineStr">
        <is>
          <t>нет</t>
        </is>
      </c>
      <c r="F12" s="17" t="inlineStr">
        <is>
          <t>Канал 8-канального блока реле</t>
        </is>
      </c>
      <c r="G12" s="17" t="inlineStr">
        <is>
          <t>Реле</t>
        </is>
      </c>
    </row>
    <row r="13" ht="24" customHeight="1">
      <c r="A13" s="15" t="inlineStr">
        <is>
          <t>9</t>
        </is>
      </c>
      <c r="B13" s="16" t="inlineStr">
        <is>
          <t>GPIO25</t>
        </is>
      </c>
      <c r="C13" s="17" t="inlineStr">
        <is>
          <t>Реле — Полив-1</t>
        </is>
      </c>
      <c r="D13" s="15" t="inlineStr">
        <is>
          <t>нет</t>
        </is>
      </c>
      <c r="E13" s="15" t="inlineStr">
        <is>
          <t>нет</t>
        </is>
      </c>
      <c r="F13" s="17" t="inlineStr">
        <is>
          <t>Канал 8-канального блока реле</t>
        </is>
      </c>
      <c r="G13" s="17" t="inlineStr">
        <is>
          <t>Реле</t>
        </is>
      </c>
    </row>
    <row r="14" ht="24" customHeight="1">
      <c r="A14" s="15" t="inlineStr">
        <is>
          <t>10</t>
        </is>
      </c>
      <c r="B14" s="16" t="inlineStr">
        <is>
          <t>GPIO26</t>
        </is>
      </c>
      <c r="C14" s="17" t="inlineStr">
        <is>
          <t>Реле — Полив-2</t>
        </is>
      </c>
      <c r="D14" s="15" t="inlineStr">
        <is>
          <t>нет</t>
        </is>
      </c>
      <c r="E14" s="15" t="inlineStr">
        <is>
          <t>нет</t>
        </is>
      </c>
      <c r="F14" s="17" t="inlineStr">
        <is>
          <t>Канал 8-канального блока реле</t>
        </is>
      </c>
      <c r="G14" s="17" t="inlineStr">
        <is>
          <t>Реле</t>
        </is>
      </c>
    </row>
    <row r="15" ht="24" customHeight="1">
      <c r="A15" s="15" t="inlineStr">
        <is>
          <t>11</t>
        </is>
      </c>
      <c r="B15" s="16" t="inlineStr">
        <is>
          <t>GPIO27</t>
        </is>
      </c>
      <c r="C15" s="17" t="inlineStr">
        <is>
          <t>Реле — Полив-3</t>
        </is>
      </c>
      <c r="D15" s="15" t="inlineStr">
        <is>
          <t>нет</t>
        </is>
      </c>
      <c r="E15" s="15" t="inlineStr">
        <is>
          <t>нет</t>
        </is>
      </c>
      <c r="F15" s="17" t="inlineStr">
        <is>
          <t>Канал 8-канального блока реле</t>
        </is>
      </c>
      <c r="G15" s="17" t="inlineStr">
        <is>
          <t>Реле</t>
        </is>
      </c>
    </row>
    <row r="16" ht="24" customHeight="1">
      <c r="A16" s="15" t="inlineStr">
        <is>
          <t>12</t>
        </is>
      </c>
      <c r="B16" s="16" t="inlineStr">
        <is>
          <t>GPIO14</t>
        </is>
      </c>
      <c r="C16" s="17" t="inlineStr">
        <is>
          <t>Реле — Увлажнитель</t>
        </is>
      </c>
      <c r="D16" s="15" t="inlineStr">
        <is>
          <t>нет</t>
        </is>
      </c>
      <c r="E16" s="15" t="inlineStr">
        <is>
          <t>нет</t>
        </is>
      </c>
      <c r="F16" s="17" t="inlineStr">
        <is>
          <t>Канал 8-канального блока реле</t>
        </is>
      </c>
      <c r="G16" s="17" t="inlineStr">
        <is>
          <t>Реле</t>
        </is>
      </c>
    </row>
    <row r="17" ht="24" customHeight="1">
      <c r="A17" s="18" t="inlineStr">
        <is>
          <t>13</t>
        </is>
      </c>
      <c r="B17" s="18" t="inlineStr">
        <is>
          <t>GPIO12</t>
        </is>
      </c>
      <c r="C17" s="19" t="inlineStr">
        <is>
          <t>—</t>
        </is>
      </c>
      <c r="D17" s="18" t="inlineStr">
        <is>
          <t>—</t>
        </is>
      </c>
      <c r="E17" s="18" t="inlineStr">
        <is>
          <t>—</t>
        </is>
      </c>
      <c r="F17" s="19" t="inlineStr">
        <is>
          <t>НЕ ИСПОЛЬЗОВАТЬ. Strapping-пин выбора напряжения флеш-памяти: высокий уровень при старте переводит флеш в режим 1,8 В, что для 3,3-вольтовой памяти платы означает отказ загрузки или повреждение</t>
        </is>
      </c>
      <c r="G17" s="19" t="inlineStr">
        <is>
          <t>Не используется</t>
        </is>
      </c>
    </row>
    <row r="18" ht="24" customHeight="1">
      <c r="A18" s="20" t="inlineStr">
        <is>
          <t>14</t>
        </is>
      </c>
      <c r="B18" s="21" t="inlineStr">
        <is>
          <t>GND</t>
        </is>
      </c>
      <c r="C18" s="22" t="inlineStr">
        <is>
          <t>Общий провод</t>
        </is>
      </c>
      <c r="D18" s="20" t="inlineStr">
        <is>
          <t>—</t>
        </is>
      </c>
      <c r="E18" s="20" t="inlineStr">
        <is>
          <t>—</t>
        </is>
      </c>
      <c r="F18" s="22" t="inlineStr">
        <is>
          <t>—</t>
        </is>
      </c>
      <c r="G18" s="22" t="inlineStr">
        <is>
          <t>Общий провод (GND)</t>
        </is>
      </c>
    </row>
    <row r="19" ht="24" customHeight="1">
      <c r="A19" s="9" t="inlineStr">
        <is>
          <t>15</t>
        </is>
      </c>
      <c r="B19" s="10" t="inlineStr">
        <is>
          <t>GPIO13</t>
        </is>
      </c>
      <c r="C19" s="11" t="inlineStr">
        <is>
          <t>DHT22 — DATA (температура/влажность СНАРУЖИ)</t>
        </is>
      </c>
      <c r="D19" s="9" t="inlineStr">
        <is>
          <t>нет</t>
        </is>
      </c>
      <c r="E19" s="9" t="inlineStr">
        <is>
          <t>нет</t>
        </is>
      </c>
      <c r="F19" s="11" t="inlineStr">
        <is>
          <t>Только мониторинг. Автоматика на него не опирается: подменять им внутренний BME280 физически неверно</t>
        </is>
      </c>
      <c r="G19" s="11" t="inlineStr">
        <is>
          <t>Датчик</t>
        </is>
      </c>
    </row>
    <row r="20" ht="24" customHeight="1">
      <c r="A20" s="7" t="inlineStr">
        <is>
          <t>16</t>
        </is>
      </c>
      <c r="B20" s="7" t="inlineStr">
        <is>
          <t>GPIO9</t>
        </is>
      </c>
      <c r="C20" s="8" t="inlineStr">
        <is>
          <t>—</t>
        </is>
      </c>
      <c r="D20" s="7" t="inlineStr">
        <is>
          <t>—</t>
        </is>
      </c>
      <c r="E20" s="7" t="inlineStr">
        <is>
          <t>—</t>
        </is>
      </c>
      <c r="F20" s="8" t="inlineStr">
        <is>
          <t>Не используется (шина флеш-памяти)</t>
        </is>
      </c>
      <c r="G20" s="8" t="inlineStr">
        <is>
          <t>Не используется</t>
        </is>
      </c>
    </row>
    <row r="21" ht="24" customHeight="1">
      <c r="A21" s="7" t="inlineStr">
        <is>
          <t>17</t>
        </is>
      </c>
      <c r="B21" s="7" t="inlineStr">
        <is>
          <t>GPIO10</t>
        </is>
      </c>
      <c r="C21" s="8" t="inlineStr">
        <is>
          <t>—</t>
        </is>
      </c>
      <c r="D21" s="7" t="inlineStr">
        <is>
          <t>—</t>
        </is>
      </c>
      <c r="E21" s="7" t="inlineStr">
        <is>
          <t>—</t>
        </is>
      </c>
      <c r="F21" s="8" t="inlineStr">
        <is>
          <t>Не используется (шина флеш-памяти)</t>
        </is>
      </c>
      <c r="G21" s="8" t="inlineStr">
        <is>
          <t>Не используется</t>
        </is>
      </c>
    </row>
    <row r="22" ht="24" customHeight="1">
      <c r="A22" s="7" t="inlineStr">
        <is>
          <t>18</t>
        </is>
      </c>
      <c r="B22" s="7" t="inlineStr">
        <is>
          <t>GPIO11</t>
        </is>
      </c>
      <c r="C22" s="8" t="inlineStr">
        <is>
          <t>—</t>
        </is>
      </c>
      <c r="D22" s="7" t="inlineStr">
        <is>
          <t>—</t>
        </is>
      </c>
      <c r="E22" s="7" t="inlineStr">
        <is>
          <t>—</t>
        </is>
      </c>
      <c r="F22" s="8" t="inlineStr">
        <is>
          <t>Не используется (шина флеш-памяти)</t>
        </is>
      </c>
      <c r="G22" s="8" t="inlineStr">
        <is>
          <t>Не используется</t>
        </is>
      </c>
    </row>
    <row r="23" ht="24" customHeight="1">
      <c r="A23" s="4" t="inlineStr">
        <is>
          <t>19</t>
        </is>
      </c>
      <c r="B23" s="5" t="inlineStr">
        <is>
          <t>Vin 5V</t>
        </is>
      </c>
      <c r="C23" s="6" t="inlineStr">
        <is>
          <t>Питание 5V</t>
        </is>
      </c>
      <c r="D23" s="4" t="inlineStr">
        <is>
          <t>—</t>
        </is>
      </c>
      <c r="E23" s="4" t="inlineStr">
        <is>
          <t>—</t>
        </is>
      </c>
      <c r="F23" s="6" t="inlineStr">
        <is>
          <t>Вход от внешнего БП</t>
        </is>
      </c>
      <c r="G23" s="6" t="inlineStr">
        <is>
          <t>Питание</t>
        </is>
      </c>
    </row>
    <row r="24" ht="24" customHeight="1">
      <c r="A24" s="20" t="inlineStr">
        <is>
          <t>38</t>
        </is>
      </c>
      <c r="B24" s="21" t="inlineStr">
        <is>
          <t>GND</t>
        </is>
      </c>
      <c r="C24" s="22" t="inlineStr">
        <is>
          <t>Общий провод</t>
        </is>
      </c>
      <c r="D24" s="20" t="inlineStr">
        <is>
          <t>—</t>
        </is>
      </c>
      <c r="E24" s="20" t="inlineStr">
        <is>
          <t>—</t>
        </is>
      </c>
      <c r="F24" s="22" t="inlineStr">
        <is>
          <t>—</t>
        </is>
      </c>
      <c r="G24" s="22" t="inlineStr">
        <is>
          <t>Общий провод (GND)</t>
        </is>
      </c>
    </row>
    <row r="25" ht="24" customHeight="1">
      <c r="A25" s="12" t="inlineStr">
        <is>
          <t>37</t>
        </is>
      </c>
      <c r="B25" s="13" t="inlineStr">
        <is>
          <t>GPIO23</t>
        </is>
      </c>
      <c r="C25" s="14" t="inlineStr">
        <is>
          <t>Кнопка «Форточки — открыть» (удержание)</t>
        </is>
      </c>
      <c r="D25" s="12" t="inlineStr">
        <is>
          <t>нет (внутр. INPUT_PULLUP)</t>
        </is>
      </c>
      <c r="E25" s="12" t="inlineStr">
        <is>
          <t>нет</t>
        </is>
      </c>
      <c r="F25" s="14" t="inlineStr">
        <is>
          <t>Замыкание на GND напрямую</t>
        </is>
      </c>
      <c r="G25" s="14" t="inlineStr">
        <is>
          <t>Кнопка</t>
        </is>
      </c>
    </row>
    <row r="26" ht="24" customHeight="1">
      <c r="A26" s="23" t="inlineStr">
        <is>
          <t>36</t>
        </is>
      </c>
      <c r="B26" s="24" t="inlineStr">
        <is>
          <t>GPIO22</t>
        </is>
      </c>
      <c r="C26" s="25" t="inlineStr">
        <is>
          <t>I²C SCL (BME280 + GY-30)</t>
        </is>
      </c>
      <c r="D26" s="23" t="inlineStr">
        <is>
          <t>нет</t>
        </is>
      </c>
      <c r="E26" s="23" t="inlineStr">
        <is>
          <t>нет</t>
        </is>
      </c>
      <c r="F26" s="25" t="inlineStr">
        <is>
          <t>Общая шина</t>
        </is>
      </c>
      <c r="G26" s="25" t="inlineStr">
        <is>
          <t>Шина I²C</t>
        </is>
      </c>
    </row>
    <row r="27" ht="24" customHeight="1">
      <c r="A27" s="7" t="inlineStr">
        <is>
          <t>35</t>
        </is>
      </c>
      <c r="B27" s="7" t="inlineStr">
        <is>
          <t>GPIO1</t>
        </is>
      </c>
      <c r="C27" s="8" t="inlineStr">
        <is>
          <t>—</t>
        </is>
      </c>
      <c r="D27" s="7" t="inlineStr">
        <is>
          <t>—</t>
        </is>
      </c>
      <c r="E27" s="7" t="inlineStr">
        <is>
          <t>—</t>
        </is>
      </c>
      <c r="F27" s="8" t="inlineStr">
        <is>
          <t>Не используется (TX0)</t>
        </is>
      </c>
      <c r="G27" s="8" t="inlineStr">
        <is>
          <t>Не используется</t>
        </is>
      </c>
    </row>
    <row r="28" ht="24" customHeight="1">
      <c r="A28" s="7" t="inlineStr">
        <is>
          <t>34</t>
        </is>
      </c>
      <c r="B28" s="7" t="inlineStr">
        <is>
          <t>GPIO3</t>
        </is>
      </c>
      <c r="C28" s="8" t="inlineStr">
        <is>
          <t>—</t>
        </is>
      </c>
      <c r="D28" s="7" t="inlineStr">
        <is>
          <t>—</t>
        </is>
      </c>
      <c r="E28" s="7" t="inlineStr">
        <is>
          <t>—</t>
        </is>
      </c>
      <c r="F28" s="8" t="inlineStr">
        <is>
          <t>Не используется (RX0)</t>
        </is>
      </c>
      <c r="G28" s="8" t="inlineStr">
        <is>
          <t>Не используется</t>
        </is>
      </c>
    </row>
    <row r="29" ht="24" customHeight="1">
      <c r="A29" s="23" t="inlineStr">
        <is>
          <t>33</t>
        </is>
      </c>
      <c r="B29" s="24" t="inlineStr">
        <is>
          <t>GPIO21</t>
        </is>
      </c>
      <c r="C29" s="25" t="inlineStr">
        <is>
          <t>I²C SDA (BME280 + GY-30)</t>
        </is>
      </c>
      <c r="D29" s="23" t="inlineStr">
        <is>
          <t>нет</t>
        </is>
      </c>
      <c r="E29" s="23" t="inlineStr">
        <is>
          <t>нет</t>
        </is>
      </c>
      <c r="F29" s="25" t="inlineStr">
        <is>
          <t>Общая шина</t>
        </is>
      </c>
      <c r="G29" s="25" t="inlineStr">
        <is>
          <t>Шина I²C</t>
        </is>
      </c>
    </row>
    <row r="30" ht="24" customHeight="1">
      <c r="A30" s="20" t="inlineStr">
        <is>
          <t>32</t>
        </is>
      </c>
      <c r="B30" s="21" t="inlineStr">
        <is>
          <t>GND</t>
        </is>
      </c>
      <c r="C30" s="22" t="inlineStr">
        <is>
          <t>Общий провод</t>
        </is>
      </c>
      <c r="D30" s="20" t="inlineStr">
        <is>
          <t>—</t>
        </is>
      </c>
      <c r="E30" s="20" t="inlineStr">
        <is>
          <t>—</t>
        </is>
      </c>
      <c r="F30" s="22" t="inlineStr">
        <is>
          <t>—</t>
        </is>
      </c>
      <c r="G30" s="22" t="inlineStr">
        <is>
          <t>Общий провод (GND)</t>
        </is>
      </c>
    </row>
    <row r="31" ht="24" customHeight="1">
      <c r="A31" s="12" t="inlineStr">
        <is>
          <t>31</t>
        </is>
      </c>
      <c r="B31" s="13" t="inlineStr">
        <is>
          <t>GPIO19</t>
        </is>
      </c>
      <c r="C31" s="14" t="inlineStr">
        <is>
          <t>Кнопка «Форточки — закрыть» (удержание)</t>
        </is>
      </c>
      <c r="D31" s="12" t="inlineStr">
        <is>
          <t>нет (внутр. INPUT_PULLUP)</t>
        </is>
      </c>
      <c r="E31" s="12" t="inlineStr">
        <is>
          <t>нет</t>
        </is>
      </c>
      <c r="F31" s="14" t="inlineStr">
        <is>
          <t>Замыкание на GND напрямую</t>
        </is>
      </c>
      <c r="G31" s="14" t="inlineStr">
        <is>
          <t>Кнопка</t>
        </is>
      </c>
    </row>
    <row r="32" ht="24" customHeight="1">
      <c r="A32" s="12" t="inlineStr">
        <is>
          <t>30</t>
        </is>
      </c>
      <c r="B32" s="13" t="inlineStr">
        <is>
          <t>GPIO18</t>
        </is>
      </c>
      <c r="C32" s="14" t="inlineStr">
        <is>
          <t>Кнопка «Полив-1»</t>
        </is>
      </c>
      <c r="D32" s="12" t="inlineStr">
        <is>
          <t>нет (внутр. INPUT_PULLUP)</t>
        </is>
      </c>
      <c r="E32" s="12" t="inlineStr">
        <is>
          <t>нет</t>
        </is>
      </c>
      <c r="F32" s="14" t="inlineStr">
        <is>
          <t>Замыкание на GND напрямую</t>
        </is>
      </c>
      <c r="G32" s="14" t="inlineStr">
        <is>
          <t>Кнопка</t>
        </is>
      </c>
    </row>
    <row r="33" ht="24" customHeight="1">
      <c r="A33" s="15" t="inlineStr">
        <is>
          <t>29</t>
        </is>
      </c>
      <c r="B33" s="16" t="inlineStr">
        <is>
          <t>GPIO5</t>
        </is>
      </c>
      <c r="C33" s="17" t="inlineStr">
        <is>
          <t>Реле насоса скважины (SRD-05VDC-SL-C)</t>
        </is>
      </c>
      <c r="D33" s="15" t="inlineStr">
        <is>
          <t>нет</t>
        </is>
      </c>
      <c r="E33" s="15" t="inlineStr">
        <is>
          <t>нет</t>
        </is>
      </c>
      <c r="F33" s="17" t="inlineStr">
        <is>
          <t>Отдельное одноканальное реле, вне блока 8ch. GPIO5 — strapping-пин, но безобидный: влияет только на вывод отладочных сообщений загрузчика</t>
        </is>
      </c>
      <c r="G33" s="17" t="inlineStr">
        <is>
          <t>Реле</t>
        </is>
      </c>
    </row>
    <row r="34" ht="24" customHeight="1">
      <c r="A34" s="12" t="inlineStr">
        <is>
          <t>28</t>
        </is>
      </c>
      <c r="B34" s="13" t="inlineStr">
        <is>
          <t>GPIO17</t>
        </is>
      </c>
      <c r="C34" s="14" t="inlineStr">
        <is>
          <t>Кнопка «Полив-2»</t>
        </is>
      </c>
      <c r="D34" s="12" t="inlineStr">
        <is>
          <t>нет (внутр. INPUT_PULLUP)</t>
        </is>
      </c>
      <c r="E34" s="12" t="inlineStr">
        <is>
          <t>нет</t>
        </is>
      </c>
      <c r="F34" s="14" t="inlineStr">
        <is>
          <t>Замыкание на GND напрямую</t>
        </is>
      </c>
      <c r="G34" s="14" t="inlineStr">
        <is>
          <t>Кнопка</t>
        </is>
      </c>
    </row>
    <row r="35" ht="24" customHeight="1">
      <c r="A35" s="12" t="inlineStr">
        <is>
          <t>27</t>
        </is>
      </c>
      <c r="B35" s="13" t="inlineStr">
        <is>
          <t>GPIO16</t>
        </is>
      </c>
      <c r="C35" s="14" t="inlineStr">
        <is>
          <t>Кнопка «Полив-3»</t>
        </is>
      </c>
      <c r="D35" s="12" t="inlineStr">
        <is>
          <t>нет (внутр. INPUT_PULLUP)</t>
        </is>
      </c>
      <c r="E35" s="12" t="inlineStr">
        <is>
          <t>нет</t>
        </is>
      </c>
      <c r="F35" s="14" t="inlineStr">
        <is>
          <t>Замыкание на GND напрямую</t>
        </is>
      </c>
      <c r="G35" s="14" t="inlineStr">
        <is>
          <t>Кнопка</t>
        </is>
      </c>
    </row>
    <row r="36" ht="24" customHeight="1">
      <c r="A36" s="15" t="inlineStr">
        <is>
          <t>26</t>
        </is>
      </c>
      <c r="B36" s="16" t="inlineStr">
        <is>
          <t>GPIO4</t>
        </is>
      </c>
      <c r="C36" s="17" t="inlineStr">
        <is>
          <t>Реле — Форточка ВЕРХ, закрыть</t>
        </is>
      </c>
      <c r="D36" s="15" t="inlineStr">
        <is>
          <t>нет</t>
        </is>
      </c>
      <c r="E36" s="15" t="inlineStr">
        <is>
          <t>нет</t>
        </is>
      </c>
      <c r="F36" s="17" t="inlineStr">
        <is>
          <t>Канал 8-канального блока реле</t>
        </is>
      </c>
      <c r="G36" s="17" t="inlineStr">
        <is>
          <t>Реле</t>
        </is>
      </c>
    </row>
    <row r="37" ht="24" customHeight="1">
      <c r="A37" s="9" t="inlineStr">
        <is>
          <t>25</t>
        </is>
      </c>
      <c r="B37" s="10" t="inlineStr">
        <is>
          <t>GPIO0</t>
        </is>
      </c>
      <c r="C37" s="11" t="inlineStr">
        <is>
          <t>AJ-SR04M — TRIG</t>
        </is>
      </c>
      <c r="D37" s="9" t="inlineStr">
        <is>
          <t>10 кОм → 3.3V (подтяжка вверх)</t>
        </is>
      </c>
      <c r="E37" s="9" t="inlineStr">
        <is>
          <t>нет</t>
        </is>
      </c>
      <c r="F37" s="11" t="inlineStr">
        <is>
          <t>Strapping-пин: низкий уровень при старте — режим прошивки. Подтяжка обеспечивает нормальную загрузку</t>
        </is>
      </c>
      <c r="G37" s="11" t="inlineStr">
        <is>
          <t>Датчик</t>
        </is>
      </c>
    </row>
    <row r="38" ht="24" customHeight="1">
      <c r="A38" s="4" t="inlineStr">
        <is>
          <t>24</t>
        </is>
      </c>
      <c r="B38" s="5" t="inlineStr">
        <is>
          <t>GPIO2</t>
        </is>
      </c>
      <c r="C38" s="6" t="inlineStr">
        <is>
          <t>LED heartbeat</t>
        </is>
      </c>
      <c r="D38" s="4" t="inlineStr">
        <is>
          <t>4,7 кОм последовательно</t>
        </is>
      </c>
      <c r="E38" s="4" t="inlineStr">
        <is>
          <t>нет</t>
        </is>
      </c>
      <c r="F38" s="6" t="inlineStr">
        <is>
          <t>Ограничительный резистор, не подтяжка</t>
        </is>
      </c>
      <c r="G38" s="6" t="inlineStr">
        <is>
          <t>Индикация</t>
        </is>
      </c>
    </row>
    <row r="39" ht="24" customHeight="1">
      <c r="A39" s="15" t="inlineStr">
        <is>
          <t>23</t>
        </is>
      </c>
      <c r="B39" s="16" t="inlineStr">
        <is>
          <t>GPIO15</t>
        </is>
      </c>
      <c r="C39" s="17" t="inlineStr">
        <is>
          <t>Реле — Форточка НИЗ, закрыть (вход IN7 релейного блока)</t>
        </is>
      </c>
      <c r="D39" s="15" t="inlineStr">
        <is>
          <t>10 кОм → GND (подтяжка вниз)</t>
        </is>
      </c>
      <c r="E39" s="15" t="inlineStr">
        <is>
          <t>нет</t>
        </is>
      </c>
      <c r="F39" s="17" t="inlineStr">
        <is>
          <t>Защита от ложного включения реле при загрузке платы (GPIO15 — strapping-пин)</t>
        </is>
      </c>
      <c r="G39" s="17" t="inlineStr">
        <is>
          <t>Реле</t>
        </is>
      </c>
    </row>
    <row r="40" ht="24" customHeight="1">
      <c r="A40" s="7" t="inlineStr">
        <is>
          <t>22</t>
        </is>
      </c>
      <c r="B40" s="7" t="inlineStr">
        <is>
          <t>GPIO8</t>
        </is>
      </c>
      <c r="C40" s="8" t="inlineStr">
        <is>
          <t>—</t>
        </is>
      </c>
      <c r="D40" s="7" t="inlineStr">
        <is>
          <t>—</t>
        </is>
      </c>
      <c r="E40" s="7" t="inlineStr">
        <is>
          <t>—</t>
        </is>
      </c>
      <c r="F40" s="8" t="inlineStr">
        <is>
          <t>Не используется (шина флеш-памяти)</t>
        </is>
      </c>
      <c r="G40" s="8" t="inlineStr">
        <is>
          <t>Не используется</t>
        </is>
      </c>
    </row>
    <row r="41" ht="24" customHeight="1">
      <c r="A41" s="7" t="inlineStr">
        <is>
          <t>21</t>
        </is>
      </c>
      <c r="B41" s="7" t="inlineStr">
        <is>
          <t>GPIO7</t>
        </is>
      </c>
      <c r="C41" s="8" t="inlineStr">
        <is>
          <t>—</t>
        </is>
      </c>
      <c r="D41" s="7" t="inlineStr">
        <is>
          <t>—</t>
        </is>
      </c>
      <c r="E41" s="7" t="inlineStr">
        <is>
          <t>—</t>
        </is>
      </c>
      <c r="F41" s="8" t="inlineStr">
        <is>
          <t>Не используется (шина флеш-памяти)</t>
        </is>
      </c>
      <c r="G41" s="8" t="inlineStr">
        <is>
          <t>Не используется</t>
        </is>
      </c>
    </row>
    <row r="42" ht="24" customHeight="1">
      <c r="A42" s="7" t="inlineStr">
        <is>
          <t>20</t>
        </is>
      </c>
      <c r="B42" s="7" t="inlineStr">
        <is>
          <t>GPIO6</t>
        </is>
      </c>
      <c r="C42" s="8" t="inlineStr">
        <is>
          <t>—</t>
        </is>
      </c>
      <c r="D42" s="7" t="inlineStr">
        <is>
          <t>—</t>
        </is>
      </c>
      <c r="E42" s="7" t="inlineStr">
        <is>
          <t>—</t>
        </is>
      </c>
      <c r="F42" s="8" t="inlineStr">
        <is>
          <t>Не используется (шина флеш-памяти)</t>
        </is>
      </c>
      <c r="G42" s="8" t="inlineStr">
        <is>
          <t>Не используется</t>
        </is>
      </c>
    </row>
    <row r="44">
      <c r="A44" s="26" t="inlineStr">
        <is>
          <t>Легенда категорий</t>
        </is>
      </c>
    </row>
    <row r="45" ht="15" customHeight="1">
      <c r="B45" s="27" t="inlineStr">
        <is>
          <t>Питание</t>
        </is>
      </c>
      <c r="D45" s="28" t="inlineStr">
        <is>
          <t>Источник ограничений по выводам: ESP-IDF Programming Guide, раздел «GPIO &amp; RTC GPIO», и ECO_and_Workarounds_for_Bugs_in_ESP32.</t>
        </is>
      </c>
    </row>
    <row r="46" ht="15" customHeight="1">
      <c r="B46" s="29" t="inlineStr">
        <is>
          <t>Общий провод (GND)</t>
        </is>
      </c>
    </row>
    <row r="47" ht="15" customHeight="1">
      <c r="B47" s="30" t="inlineStr">
        <is>
          <t>Шина I²C</t>
        </is>
      </c>
    </row>
    <row r="48" ht="15" customHeight="1">
      <c r="B48" s="31" t="inlineStr">
        <is>
          <t>Датчик</t>
        </is>
      </c>
    </row>
    <row r="49" ht="15" customHeight="1">
      <c r="B49" s="32" t="inlineStr">
        <is>
          <t>Реле</t>
        </is>
      </c>
    </row>
    <row r="50" ht="15" customHeight="1">
      <c r="B50" s="33" t="inlineStr">
        <is>
          <t>Кнопка</t>
        </is>
      </c>
    </row>
    <row r="51" ht="15" customHeight="1">
      <c r="B51" s="27" t="inlineStr">
        <is>
          <t>Индикация</t>
        </is>
      </c>
    </row>
    <row r="52" ht="15" customHeight="1">
      <c r="B52" s="34" t="inlineStr">
        <is>
          <t>Не используется</t>
        </is>
      </c>
    </row>
    <row r="54">
      <c r="A54" s="26" t="inlineStr">
        <is>
          <t>Итого</t>
        </is>
      </c>
    </row>
    <row r="55" ht="14" customHeight="1">
      <c r="A55" s="35" t="inlineStr">
        <is>
          <t>Пинов с внешним резистором:</t>
        </is>
      </c>
      <c r="C55" s="36">
        <f>COUNTIFS(D5:D42,"&lt;&gt;нет*",D5:D42,"&lt;&gt;—")</f>
        <v/>
      </c>
    </row>
    <row r="56" ht="14" customHeight="1">
      <c r="A56" s="35" t="inlineStr">
        <is>
          <t>Пинов с конденсатором:</t>
        </is>
      </c>
      <c r="C56" s="36">
        <f>COUNTIFS(E5:E42,"&lt;&gt;нет*",E5:E42,"&lt;&gt;—")</f>
        <v/>
      </c>
    </row>
    <row r="57" ht="14" customHeight="1">
      <c r="A57" s="35" t="inlineStr">
        <is>
          <t>Всего задействованных GPIO:</t>
        </is>
      </c>
      <c r="C57" s="36">
        <f>COUNTIF(G5:G42,"&lt;&gt;Не используется")-COUNTIF(G5:G42,"Питание")-COUNTIF(G5:G42,"Общий провод (GND)")</f>
        <v/>
      </c>
    </row>
    <row r="58" ht="14" customHeight="1">
      <c r="A58" s="35" t="inlineStr">
        <is>
          <t>Кнопок:</t>
        </is>
      </c>
      <c r="C58" s="36">
        <f>COUNTIF(G5:G42,"Кнопка")</f>
        <v/>
      </c>
    </row>
    <row r="59" ht="14" customHeight="1">
      <c r="A59" s="35" t="inlineStr">
        <is>
          <t>Реле:</t>
        </is>
      </c>
      <c r="C59" s="36">
        <f>COUNTIF(G5:G42,"Реле")</f>
        <v/>
      </c>
    </row>
  </sheetData>
  <autoFilter ref="A4:G42"/>
  <mergeCells count="2">
    <mergeCell ref="A2:G2"/>
    <mergeCell ref="A1:G1"/>
  </mergeCells>
  <pageMargins left="0.4" right="0.4" top="0.5" bottom="0.5" header="0.2" footer="0.2"/>
  <pageSetup orientation="landscape" paperSize="9" fitToHeight="0" fitToWidth="1"/>
  <headerFooter>
    <oddHeader/>
    <oddFooter>&amp;L&amp;8 SmartGreenhouse — распиновка ESP32 (v6.2)&amp;R&amp;8 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2026-08-20T11:02:45Z</dcterms:created>
  <dcterms:modified xsi:type="dcterms:W3CDTF">2026-08-20T11:02:45Z</dcterms:modified>
</cp:coreProperties>
</file>