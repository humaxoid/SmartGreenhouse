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600" windowWidth="27495" windowHeight="11955"/>
  </bookViews>
  <sheets>
    <sheet name="GPIO pinout" sheetId="1" r:id="rId1"/>
  </sheets>
  <definedNames>
    <definedName name="_xlnm._FilterDatabase" localSheetId="0" hidden="1">'GPIO pinout'!$A$4:$G$42</definedName>
    <definedName name="_xlnm.Print_Titles" localSheetId="0">'GPIO pinout'!$4:$4</definedName>
    <definedName name="_xlnm.Print_Area" localSheetId="0">'GPIO pinout'!$A$1:$G$59</definedName>
  </definedNames>
  <calcPr calcId="145621"/>
</workbook>
</file>

<file path=xl/calcChain.xml><?xml version="1.0" encoding="utf-8"?>
<calcChain xmlns="http://schemas.openxmlformats.org/spreadsheetml/2006/main">
  <c r="C59" i="1" l="1"/>
  <c r="C58" i="1"/>
  <c r="C57" i="1"/>
  <c r="C56" i="1"/>
  <c r="C55" i="1"/>
</calcChain>
</file>

<file path=xl/sharedStrings.xml><?xml version="1.0" encoding="utf-8"?>
<sst xmlns="http://schemas.openxmlformats.org/spreadsheetml/2006/main" count="291" uniqueCount="151">
  <si>
    <t>SMART GREENHOUSE — ESP32 DOIT DEVKIT V1 PINOUT</t>
  </si>
  <si>
    <t>Firmware version 6.2. Resistors and capacitors are spelled out wherever they are mandatory. GPIO34–39 are input-only and have no internal pull resistors.</t>
  </si>
  <si>
    <t>Board pin</t>
  </si>
  <si>
    <t>GPIO / signal</t>
  </si>
  <si>
    <t>Purpose</t>
  </si>
  <si>
    <t>Resistor</t>
  </si>
  <si>
    <t>Capacitor</t>
  </si>
  <si>
    <t>Note</t>
  </si>
  <si>
    <t>Category</t>
  </si>
  <si>
    <t>1</t>
  </si>
  <si>
    <t>3.3V</t>
  </si>
  <si>
    <t>Sensor supply (output)</t>
  </si>
  <si>
    <t>—</t>
  </si>
  <si>
    <t>Board regulator output</t>
  </si>
  <si>
    <t>Power</t>
  </si>
  <si>
    <t>2</t>
  </si>
  <si>
    <t>EN</t>
  </si>
  <si>
    <t>Not used</t>
  </si>
  <si>
    <t>3</t>
  </si>
  <si>
    <t>GPIO36</t>
  </si>
  <si>
    <t>YL-83 rain sensor, AO output (analog)</t>
  </si>
  <si>
    <t>no</t>
  </si>
  <si>
    <t>ADC1_CH0. Lower value = heavier rain. Thresholds RAIN_ADC_WET / RAIN_ADC_DRY live in config.h; tune them from the [RAIN] raw=… line</t>
  </si>
  <si>
    <t>Sensor</t>
  </si>
  <si>
    <t>4</t>
  </si>
  <si>
    <t>GPIO39</t>
  </si>
  <si>
    <t>Pump button (manual on/off)</t>
  </si>
  <si>
    <t>10 kΩ → 3.3 V (pull-up)</t>
  </si>
  <si>
    <t>100 nF across the button</t>
  </si>
  <si>
    <t>Other side of button and capacitor goes to GND. Pull-up is MANDATORY: GPIO34-39 have none internally. Polled, never on an interrupt (GPIO36/39 erratum)</t>
  </si>
  <si>
    <t>Button</t>
  </si>
  <si>
    <t>5</t>
  </si>
  <si>
    <t>GPIO34</t>
  </si>
  <si>
    <t>AJ-SR04M — ECHO</t>
  </si>
  <si>
    <t>Divider 1.5 kΩ + 2.2 kΩ</t>
  </si>
  <si>
    <t>1.5 kΩ in series, 2.2 kΩ from the node to GND (5 V → ~2.65 V)</t>
  </si>
  <si>
    <t>6</t>
  </si>
  <si>
    <t>GPIO35</t>
  </si>
  <si>
    <t>Humidifier button (manual on/off)</t>
  </si>
  <si>
    <t>Other side of button and capacitor goes to GND. Pull-up is MANDATORY: GPIO34-39 have none internally</t>
  </si>
  <si>
    <t>7</t>
  </si>
  <si>
    <t>GPIO32</t>
  </si>
  <si>
    <t>Relay — upper vent, open</t>
  </si>
  <si>
    <t>Channel of the 8-ch relay board</t>
  </si>
  <si>
    <t>Relay</t>
  </si>
  <si>
    <t>8</t>
  </si>
  <si>
    <t>GPIO33</t>
  </si>
  <si>
    <t>Relay — lower vent, open</t>
  </si>
  <si>
    <t>9</t>
  </si>
  <si>
    <t>GPIO25</t>
  </si>
  <si>
    <t>Relay — irrigation 1</t>
  </si>
  <si>
    <t>10</t>
  </si>
  <si>
    <t>GPIO26</t>
  </si>
  <si>
    <t>Relay — irrigation 2</t>
  </si>
  <si>
    <t>11</t>
  </si>
  <si>
    <t>GPIO27</t>
  </si>
  <si>
    <t>Relay — irrigation 3</t>
  </si>
  <si>
    <t>12</t>
  </si>
  <si>
    <t>GPIO14</t>
  </si>
  <si>
    <t>Relay — humidifier</t>
  </si>
  <si>
    <t>13</t>
  </si>
  <si>
    <t>GPIO12</t>
  </si>
  <si>
    <t>DO NOT USE. Strapping pin selecting flash voltage: held high at reset it switches flash to 1.8 V mode, which on this board's 3.3 V flash means a failed boot or a damaged chip</t>
  </si>
  <si>
    <t>14</t>
  </si>
  <si>
    <t>GND</t>
  </si>
  <si>
    <t>Ground</t>
  </si>
  <si>
    <t>Ground (GND)</t>
  </si>
  <si>
    <t>15</t>
  </si>
  <si>
    <t>GPIO13</t>
  </si>
  <si>
    <t>DHT22 — DATA (OUTDOOR temperature/humidity)</t>
  </si>
  <si>
    <t>Monitoring only. Control never falls back to it: substituting it for the indoor BME280 is physically wrong</t>
  </si>
  <si>
    <t>16</t>
  </si>
  <si>
    <t>GPIO9</t>
  </si>
  <si>
    <t>Not used (SPI flash bus)</t>
  </si>
  <si>
    <t>17</t>
  </si>
  <si>
    <t>GPIO10</t>
  </si>
  <si>
    <t>18</t>
  </si>
  <si>
    <t>GPIO11</t>
  </si>
  <si>
    <t>19</t>
  </si>
  <si>
    <t>Vin 5V</t>
  </si>
  <si>
    <t>5 V supply</t>
  </si>
  <si>
    <t>Input from the external PSU</t>
  </si>
  <si>
    <t>38</t>
  </si>
  <si>
    <t>37</t>
  </si>
  <si>
    <t>GPIO23</t>
  </si>
  <si>
    <t>Vents OPEN button (hold)</t>
  </si>
  <si>
    <t>no (internal INPUT_PULLUP)</t>
  </si>
  <si>
    <t>Shorts straight to GND</t>
  </si>
  <si>
    <t>36</t>
  </si>
  <si>
    <t>GPIO22</t>
  </si>
  <si>
    <t>I²C SCL (BME280 + GY-30)</t>
  </si>
  <si>
    <t>Shared bus</t>
  </si>
  <si>
    <t>I²C bus</t>
  </si>
  <si>
    <t>35</t>
  </si>
  <si>
    <t>GPIO1</t>
  </si>
  <si>
    <t>Not used (TX0)</t>
  </si>
  <si>
    <t>34</t>
  </si>
  <si>
    <t>GPIO3</t>
  </si>
  <si>
    <t>Not used (RX0)</t>
  </si>
  <si>
    <t>33</t>
  </si>
  <si>
    <t>GPIO21</t>
  </si>
  <si>
    <t>I²C SDA (BME280 + GY-30)</t>
  </si>
  <si>
    <t>32</t>
  </si>
  <si>
    <t>31</t>
  </si>
  <si>
    <t>GPIO19</t>
  </si>
  <si>
    <t>Vents CLOSE button (hold)</t>
  </si>
  <si>
    <t>30</t>
  </si>
  <si>
    <t>GPIO18</t>
  </si>
  <si>
    <t>Irrigation 1 button</t>
  </si>
  <si>
    <t>29</t>
  </si>
  <si>
    <t>GPIO5</t>
  </si>
  <si>
    <t>Well pump relay (SRD-05VDC-SL-C)</t>
  </si>
  <si>
    <t>Separate single-channel relay, outside the 8-ch board. GPIO5 is a strapping pin but a harmless one: it only affects bootloader debug output</t>
  </si>
  <si>
    <t>28</t>
  </si>
  <si>
    <t>GPIO17</t>
  </si>
  <si>
    <t>Irrigation 2 button</t>
  </si>
  <si>
    <t>27</t>
  </si>
  <si>
    <t>GPIO16</t>
  </si>
  <si>
    <t>Irrigation 3 button</t>
  </si>
  <si>
    <t>26</t>
  </si>
  <si>
    <t>GPIO4</t>
  </si>
  <si>
    <t>Relay — upper vent, close</t>
  </si>
  <si>
    <t>25</t>
  </si>
  <si>
    <t>GPIO0</t>
  </si>
  <si>
    <t>AJ-SR04M — TRIG</t>
  </si>
  <si>
    <t>Strapping pin: held low at reset it enters flashing mode. The pull-up keeps normal boot</t>
  </si>
  <si>
    <t>24</t>
  </si>
  <si>
    <t>GPIO2</t>
  </si>
  <si>
    <t>Heartbeat LED</t>
  </si>
  <si>
    <t>4.7 kΩ in series</t>
  </si>
  <si>
    <t>Current-limiting resistor, not a pull-up</t>
  </si>
  <si>
    <t>Indication</t>
  </si>
  <si>
    <t>23</t>
  </si>
  <si>
    <t>GPIO15</t>
  </si>
  <si>
    <t>Relay — lower vent, close (IN7 of the relay board)</t>
  </si>
  <si>
    <t>10 kΩ → GND (pull-down)</t>
  </si>
  <si>
    <t>Stops the relay from firing while the board boots (GPIO15 is a strapping pin)</t>
  </si>
  <si>
    <t>22</t>
  </si>
  <si>
    <t>GPIO8</t>
  </si>
  <si>
    <t>21</t>
  </si>
  <si>
    <t>GPIO7</t>
  </si>
  <si>
    <t>20</t>
  </si>
  <si>
    <t>GPIO6</t>
  </si>
  <si>
    <t>Category legend</t>
  </si>
  <si>
    <t>Source for the pin restrictions: ESP-IDF Programming Guide, "GPIO &amp; RTC GPIO", and ECO_and_Workarounds_for_Bugs_in_ESP32.</t>
  </si>
  <si>
    <t>Totals</t>
  </si>
  <si>
    <t>Pins with an external resistor:</t>
  </si>
  <si>
    <t>Pins with a capacitor:</t>
  </si>
  <si>
    <t>GPIOs in use:</t>
  </si>
  <si>
    <t>Buttons:</t>
  </si>
  <si>
    <t>Relays: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</si>
</sst>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8"/>
      <color rgb="FF000000"/>
      <name val="Arial"/>
    </font>
    <font>
      <b/>
      <sz val="8"/>
      <color rgb="FF000000"/>
      <name val="Arial"/>
    </font>
    <font>
      <b/>
      <sz val="8"/>
      <color rgb="FFC00000"/>
      <name val="Arial"/>
    </font>
    <font>
      <b/>
      <sz val="10"/>
      <name val="Arial"/>
    </font>
    <font>
      <sz val="8"/>
      <name val="Arial"/>
    </font>
    <font>
      <i/>
      <sz val="8"/>
      <color rgb="FF595959"/>
      <name val="Arial"/>
    </font>
    <font>
      <sz val="9"/>
      <name val="Arial"/>
    </font>
    <font>
      <b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44546A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DEEAF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3" borderId="1" xfId="0" applyFont="1" applyFill="1" applyBorder="1" applyAlignment="1">
      <alignment horizontal="left" vertical="center"/>
    </xf>
    <xf numFmtId="0" fontId="9" fillId="0" borderId="0" xfId="0" applyFont="1"/>
    <xf numFmtId="0" fontId="8" fillId="8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9"/>
  <sheetViews>
    <sheetView tabSelected="1" workbookViewId="0">
      <pane ySplit="4" topLeftCell="A32" activePane="bottomLeft" state="frozen"/>
      <selection pane="bottomLeft" sqref="A1:G1"/>
    </sheetView>
  </sheetViews>
  <sheetFormatPr defaultRowHeight="15" x14ac:dyDescent="0.25"/>
  <cols>
    <col min="1" max="1" width="6" customWidth="1"/>
    <col min="2" max="2" width="18.7109375" customWidth="1"/>
    <col min="3" max="3" width="26" customWidth="1"/>
    <col min="4" max="4" width="14" customWidth="1"/>
    <col min="5" max="5" width="12" customWidth="1"/>
    <col min="6" max="6" width="40" customWidth="1"/>
    <col min="7" max="7" width="13" customWidth="1"/>
  </cols>
  <sheetData>
    <row r="1" spans="1:7" ht="21.95" customHeight="1" x14ac:dyDescent="0.25">
      <c r="A1" s="37" t="s">
        <v>0</v>
      </c>
      <c r="B1" s="36"/>
      <c r="C1" s="36"/>
      <c r="D1" s="36"/>
      <c r="E1" s="36"/>
      <c r="F1" s="36"/>
      <c r="G1" s="36"/>
    </row>
    <row r="2" spans="1:7" ht="26.1" customHeight="1" x14ac:dyDescent="0.25">
      <c r="A2" s="35" t="s">
        <v>1</v>
      </c>
      <c r="B2" s="36"/>
      <c r="C2" s="36"/>
      <c r="D2" s="36"/>
      <c r="E2" s="36"/>
      <c r="F2" s="36"/>
      <c r="G2" s="36"/>
    </row>
    <row r="4" spans="1:7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24" customHeight="1" x14ac:dyDescent="0.25">
      <c r="A5" s="2" t="s">
        <v>9</v>
      </c>
      <c r="B5" s="3" t="s">
        <v>10</v>
      </c>
      <c r="C5" s="4" t="s">
        <v>11</v>
      </c>
      <c r="D5" s="2" t="s">
        <v>12</v>
      </c>
      <c r="E5" s="2" t="s">
        <v>12</v>
      </c>
      <c r="F5" s="4" t="s">
        <v>13</v>
      </c>
      <c r="G5" s="4" t="s">
        <v>14</v>
      </c>
    </row>
    <row r="6" spans="1:7" ht="24" customHeight="1" x14ac:dyDescent="0.25">
      <c r="A6" s="5" t="s">
        <v>15</v>
      </c>
      <c r="B6" s="5" t="s">
        <v>16</v>
      </c>
      <c r="C6" s="6" t="s">
        <v>12</v>
      </c>
      <c r="D6" s="5" t="s">
        <v>12</v>
      </c>
      <c r="E6" s="5" t="s">
        <v>12</v>
      </c>
      <c r="F6" s="6" t="s">
        <v>17</v>
      </c>
      <c r="G6" s="6" t="s">
        <v>17</v>
      </c>
    </row>
    <row r="7" spans="1:7" ht="41.25" customHeight="1" x14ac:dyDescent="0.25">
      <c r="A7" s="7" t="s">
        <v>18</v>
      </c>
      <c r="B7" s="8" t="s">
        <v>19</v>
      </c>
      <c r="C7" s="9" t="s">
        <v>20</v>
      </c>
      <c r="D7" s="7" t="s">
        <v>21</v>
      </c>
      <c r="E7" s="7" t="s">
        <v>21</v>
      </c>
      <c r="F7" s="9" t="s">
        <v>22</v>
      </c>
      <c r="G7" s="9" t="s">
        <v>23</v>
      </c>
    </row>
    <row r="8" spans="1:7" ht="39.75" customHeight="1" x14ac:dyDescent="0.25">
      <c r="A8" s="10" t="s">
        <v>24</v>
      </c>
      <c r="B8" s="11" t="s">
        <v>25</v>
      </c>
      <c r="C8" s="12" t="s">
        <v>26</v>
      </c>
      <c r="D8" s="10" t="s">
        <v>27</v>
      </c>
      <c r="E8" s="10" t="s">
        <v>28</v>
      </c>
      <c r="F8" s="12" t="s">
        <v>29</v>
      </c>
      <c r="G8" s="12" t="s">
        <v>30</v>
      </c>
    </row>
    <row r="9" spans="1:7" ht="24" customHeight="1" x14ac:dyDescent="0.25">
      <c r="A9" s="7" t="s">
        <v>31</v>
      </c>
      <c r="B9" s="8" t="s">
        <v>32</v>
      </c>
      <c r="C9" s="9" t="s">
        <v>33</v>
      </c>
      <c r="D9" s="7" t="s">
        <v>34</v>
      </c>
      <c r="E9" s="7" t="s">
        <v>21</v>
      </c>
      <c r="F9" s="9" t="s">
        <v>35</v>
      </c>
      <c r="G9" s="9" t="s">
        <v>23</v>
      </c>
    </row>
    <row r="10" spans="1:7" ht="24" customHeight="1" x14ac:dyDescent="0.25">
      <c r="A10" s="10" t="s">
        <v>36</v>
      </c>
      <c r="B10" s="11" t="s">
        <v>37</v>
      </c>
      <c r="C10" s="12" t="s">
        <v>38</v>
      </c>
      <c r="D10" s="10" t="s">
        <v>27</v>
      </c>
      <c r="E10" s="10" t="s">
        <v>28</v>
      </c>
      <c r="F10" s="12" t="s">
        <v>39</v>
      </c>
      <c r="G10" s="12" t="s">
        <v>30</v>
      </c>
    </row>
    <row r="11" spans="1:7" ht="24" customHeight="1" x14ac:dyDescent="0.25">
      <c r="A11" s="13" t="s">
        <v>40</v>
      </c>
      <c r="B11" s="14" t="s">
        <v>41</v>
      </c>
      <c r="C11" s="15" t="s">
        <v>42</v>
      </c>
      <c r="D11" s="13" t="s">
        <v>21</v>
      </c>
      <c r="E11" s="13" t="s">
        <v>21</v>
      </c>
      <c r="F11" s="15" t="s">
        <v>43</v>
      </c>
      <c r="G11" s="15" t="s">
        <v>44</v>
      </c>
    </row>
    <row r="12" spans="1:7" ht="24" customHeight="1" x14ac:dyDescent="0.25">
      <c r="A12" s="13" t="s">
        <v>45</v>
      </c>
      <c r="B12" s="14" t="s">
        <v>46</v>
      </c>
      <c r="C12" s="15" t="s">
        <v>47</v>
      </c>
      <c r="D12" s="13" t="s">
        <v>21</v>
      </c>
      <c r="E12" s="13" t="s">
        <v>21</v>
      </c>
      <c r="F12" s="15" t="s">
        <v>43</v>
      </c>
      <c r="G12" s="15" t="s">
        <v>44</v>
      </c>
    </row>
    <row r="13" spans="1:7" ht="24" customHeight="1" x14ac:dyDescent="0.25">
      <c r="A13" s="13" t="s">
        <v>48</v>
      </c>
      <c r="B13" s="14" t="s">
        <v>49</v>
      </c>
      <c r="C13" s="15" t="s">
        <v>50</v>
      </c>
      <c r="D13" s="13" t="s">
        <v>21</v>
      </c>
      <c r="E13" s="13" t="s">
        <v>21</v>
      </c>
      <c r="F13" s="15" t="s">
        <v>43</v>
      </c>
      <c r="G13" s="15" t="s">
        <v>44</v>
      </c>
    </row>
    <row r="14" spans="1:7" ht="24" customHeight="1" x14ac:dyDescent="0.25">
      <c r="A14" s="13" t="s">
        <v>51</v>
      </c>
      <c r="B14" s="14" t="s">
        <v>52</v>
      </c>
      <c r="C14" s="15" t="s">
        <v>53</v>
      </c>
      <c r="D14" s="13" t="s">
        <v>21</v>
      </c>
      <c r="E14" s="13" t="s">
        <v>21</v>
      </c>
      <c r="F14" s="15" t="s">
        <v>43</v>
      </c>
      <c r="G14" s="15" t="s">
        <v>44</v>
      </c>
    </row>
    <row r="15" spans="1:7" ht="24" customHeight="1" x14ac:dyDescent="0.25">
      <c r="A15" s="13" t="s">
        <v>54</v>
      </c>
      <c r="B15" s="14" t="s">
        <v>55</v>
      </c>
      <c r="C15" s="15" t="s">
        <v>56</v>
      </c>
      <c r="D15" s="13" t="s">
        <v>21</v>
      </c>
      <c r="E15" s="13" t="s">
        <v>21</v>
      </c>
      <c r="F15" s="15" t="s">
        <v>43</v>
      </c>
      <c r="G15" s="15" t="s">
        <v>44</v>
      </c>
    </row>
    <row r="16" spans="1:7" ht="24" customHeight="1" x14ac:dyDescent="0.25">
      <c r="A16" s="13" t="s">
        <v>57</v>
      </c>
      <c r="B16" s="14" t="s">
        <v>58</v>
      </c>
      <c r="C16" s="15" t="s">
        <v>59</v>
      </c>
      <c r="D16" s="13" t="s">
        <v>21</v>
      </c>
      <c r="E16" s="13" t="s">
        <v>21</v>
      </c>
      <c r="F16" s="15" t="s">
        <v>43</v>
      </c>
      <c r="G16" s="15" t="s">
        <v>44</v>
      </c>
    </row>
    <row r="17" spans="1:7" ht="55.5" customHeight="1" x14ac:dyDescent="0.25">
      <c r="A17" s="16" t="s">
        <v>60</v>
      </c>
      <c r="B17" s="16" t="s">
        <v>61</v>
      </c>
      <c r="C17" s="17" t="s">
        <v>12</v>
      </c>
      <c r="D17" s="16" t="s">
        <v>12</v>
      </c>
      <c r="E17" s="16" t="s">
        <v>12</v>
      </c>
      <c r="F17" s="17" t="s">
        <v>62</v>
      </c>
      <c r="G17" s="17" t="s">
        <v>17</v>
      </c>
    </row>
    <row r="18" spans="1:7" ht="24" customHeight="1" x14ac:dyDescent="0.25">
      <c r="A18" s="18" t="s">
        <v>63</v>
      </c>
      <c r="B18" s="19" t="s">
        <v>64</v>
      </c>
      <c r="C18" s="20" t="s">
        <v>65</v>
      </c>
      <c r="D18" s="18" t="s">
        <v>12</v>
      </c>
      <c r="E18" s="18" t="s">
        <v>12</v>
      </c>
      <c r="F18" s="20" t="s">
        <v>12</v>
      </c>
      <c r="G18" s="20" t="s">
        <v>66</v>
      </c>
    </row>
    <row r="19" spans="1:7" ht="24" customHeight="1" x14ac:dyDescent="0.25">
      <c r="A19" s="7" t="s">
        <v>67</v>
      </c>
      <c r="B19" s="8" t="s">
        <v>68</v>
      </c>
      <c r="C19" s="9" t="s">
        <v>69</v>
      </c>
      <c r="D19" s="7" t="s">
        <v>21</v>
      </c>
      <c r="E19" s="7" t="s">
        <v>21</v>
      </c>
      <c r="F19" s="9" t="s">
        <v>70</v>
      </c>
      <c r="G19" s="9" t="s">
        <v>23</v>
      </c>
    </row>
    <row r="20" spans="1:7" ht="24" customHeight="1" x14ac:dyDescent="0.25">
      <c r="A20" s="5" t="s">
        <v>71</v>
      </c>
      <c r="B20" s="5" t="s">
        <v>72</v>
      </c>
      <c r="C20" s="6" t="s">
        <v>12</v>
      </c>
      <c r="D20" s="5" t="s">
        <v>12</v>
      </c>
      <c r="E20" s="5" t="s">
        <v>12</v>
      </c>
      <c r="F20" s="6" t="s">
        <v>73</v>
      </c>
      <c r="G20" s="6" t="s">
        <v>17</v>
      </c>
    </row>
    <row r="21" spans="1:7" ht="24" customHeight="1" x14ac:dyDescent="0.25">
      <c r="A21" s="5" t="s">
        <v>74</v>
      </c>
      <c r="B21" s="5" t="s">
        <v>75</v>
      </c>
      <c r="C21" s="6" t="s">
        <v>12</v>
      </c>
      <c r="D21" s="5" t="s">
        <v>12</v>
      </c>
      <c r="E21" s="5" t="s">
        <v>12</v>
      </c>
      <c r="F21" s="6" t="s">
        <v>73</v>
      </c>
      <c r="G21" s="6" t="s">
        <v>17</v>
      </c>
    </row>
    <row r="22" spans="1:7" ht="24" customHeight="1" x14ac:dyDescent="0.25">
      <c r="A22" s="5" t="s">
        <v>76</v>
      </c>
      <c r="B22" s="5" t="s">
        <v>77</v>
      </c>
      <c r="C22" s="6" t="s">
        <v>12</v>
      </c>
      <c r="D22" s="5" t="s">
        <v>12</v>
      </c>
      <c r="E22" s="5" t="s">
        <v>12</v>
      </c>
      <c r="F22" s="6" t="s">
        <v>73</v>
      </c>
      <c r="G22" s="6" t="s">
        <v>17</v>
      </c>
    </row>
    <row r="23" spans="1:7" ht="24" customHeight="1" x14ac:dyDescent="0.25">
      <c r="A23" s="2" t="s">
        <v>78</v>
      </c>
      <c r="B23" s="3" t="s">
        <v>79</v>
      </c>
      <c r="C23" s="4" t="s">
        <v>80</v>
      </c>
      <c r="D23" s="2" t="s">
        <v>12</v>
      </c>
      <c r="E23" s="2" t="s">
        <v>12</v>
      </c>
      <c r="F23" s="4" t="s">
        <v>81</v>
      </c>
      <c r="G23" s="4" t="s">
        <v>14</v>
      </c>
    </row>
    <row r="24" spans="1:7" ht="24" customHeight="1" x14ac:dyDescent="0.25">
      <c r="A24" s="18" t="s">
        <v>82</v>
      </c>
      <c r="B24" s="19" t="s">
        <v>64</v>
      </c>
      <c r="C24" s="20" t="s">
        <v>65</v>
      </c>
      <c r="D24" s="18" t="s">
        <v>12</v>
      </c>
      <c r="E24" s="18" t="s">
        <v>12</v>
      </c>
      <c r="F24" s="20" t="s">
        <v>12</v>
      </c>
      <c r="G24" s="20" t="s">
        <v>66</v>
      </c>
    </row>
    <row r="25" spans="1:7" ht="24" customHeight="1" x14ac:dyDescent="0.25">
      <c r="A25" s="10" t="s">
        <v>83</v>
      </c>
      <c r="B25" s="11" t="s">
        <v>84</v>
      </c>
      <c r="C25" s="12" t="s">
        <v>85</v>
      </c>
      <c r="D25" s="10" t="s">
        <v>86</v>
      </c>
      <c r="E25" s="10" t="s">
        <v>21</v>
      </c>
      <c r="F25" s="12" t="s">
        <v>87</v>
      </c>
      <c r="G25" s="12" t="s">
        <v>30</v>
      </c>
    </row>
    <row r="26" spans="1:7" ht="24" customHeight="1" x14ac:dyDescent="0.25">
      <c r="A26" s="21" t="s">
        <v>88</v>
      </c>
      <c r="B26" s="22" t="s">
        <v>89</v>
      </c>
      <c r="C26" s="23" t="s">
        <v>90</v>
      </c>
      <c r="D26" s="21" t="s">
        <v>21</v>
      </c>
      <c r="E26" s="21" t="s">
        <v>21</v>
      </c>
      <c r="F26" s="23" t="s">
        <v>91</v>
      </c>
      <c r="G26" s="23" t="s">
        <v>92</v>
      </c>
    </row>
    <row r="27" spans="1:7" ht="24" customHeight="1" x14ac:dyDescent="0.25">
      <c r="A27" s="5" t="s">
        <v>93</v>
      </c>
      <c r="B27" s="5" t="s">
        <v>94</v>
      </c>
      <c r="C27" s="6" t="s">
        <v>12</v>
      </c>
      <c r="D27" s="5" t="s">
        <v>12</v>
      </c>
      <c r="E27" s="5" t="s">
        <v>12</v>
      </c>
      <c r="F27" s="6" t="s">
        <v>95</v>
      </c>
      <c r="G27" s="6" t="s">
        <v>17</v>
      </c>
    </row>
    <row r="28" spans="1:7" ht="24" customHeight="1" x14ac:dyDescent="0.25">
      <c r="A28" s="5" t="s">
        <v>96</v>
      </c>
      <c r="B28" s="5" t="s">
        <v>97</v>
      </c>
      <c r="C28" s="6" t="s">
        <v>12</v>
      </c>
      <c r="D28" s="5" t="s">
        <v>12</v>
      </c>
      <c r="E28" s="5" t="s">
        <v>12</v>
      </c>
      <c r="F28" s="6" t="s">
        <v>98</v>
      </c>
      <c r="G28" s="6" t="s">
        <v>17</v>
      </c>
    </row>
    <row r="29" spans="1:7" ht="24" customHeight="1" x14ac:dyDescent="0.25">
      <c r="A29" s="21" t="s">
        <v>99</v>
      </c>
      <c r="B29" s="22" t="s">
        <v>100</v>
      </c>
      <c r="C29" s="23" t="s">
        <v>101</v>
      </c>
      <c r="D29" s="21" t="s">
        <v>21</v>
      </c>
      <c r="E29" s="21" t="s">
        <v>21</v>
      </c>
      <c r="F29" s="23" t="s">
        <v>91</v>
      </c>
      <c r="G29" s="23" t="s">
        <v>92</v>
      </c>
    </row>
    <row r="30" spans="1:7" ht="24" customHeight="1" x14ac:dyDescent="0.25">
      <c r="A30" s="18" t="s">
        <v>102</v>
      </c>
      <c r="B30" s="19" t="s">
        <v>64</v>
      </c>
      <c r="C30" s="20" t="s">
        <v>65</v>
      </c>
      <c r="D30" s="18" t="s">
        <v>12</v>
      </c>
      <c r="E30" s="18" t="s">
        <v>12</v>
      </c>
      <c r="F30" s="20" t="s">
        <v>12</v>
      </c>
      <c r="G30" s="20" t="s">
        <v>66</v>
      </c>
    </row>
    <row r="31" spans="1:7" ht="24" customHeight="1" x14ac:dyDescent="0.25">
      <c r="A31" s="10" t="s">
        <v>103</v>
      </c>
      <c r="B31" s="11" t="s">
        <v>104</v>
      </c>
      <c r="C31" s="12" t="s">
        <v>105</v>
      </c>
      <c r="D31" s="10" t="s">
        <v>86</v>
      </c>
      <c r="E31" s="10" t="s">
        <v>21</v>
      </c>
      <c r="F31" s="12" t="s">
        <v>87</v>
      </c>
      <c r="G31" s="12" t="s">
        <v>30</v>
      </c>
    </row>
    <row r="32" spans="1:7" ht="24" customHeight="1" x14ac:dyDescent="0.25">
      <c r="A32" s="10" t="s">
        <v>106</v>
      </c>
      <c r="B32" s="11" t="s">
        <v>107</v>
      </c>
      <c r="C32" s="12" t="s">
        <v>108</v>
      </c>
      <c r="D32" s="10" t="s">
        <v>86</v>
      </c>
      <c r="E32" s="10" t="s">
        <v>21</v>
      </c>
      <c r="F32" s="12" t="s">
        <v>87</v>
      </c>
      <c r="G32" s="12" t="s">
        <v>30</v>
      </c>
    </row>
    <row r="33" spans="1:7" ht="38.25" customHeight="1" x14ac:dyDescent="0.25">
      <c r="A33" s="13" t="s">
        <v>109</v>
      </c>
      <c r="B33" s="14" t="s">
        <v>110</v>
      </c>
      <c r="C33" s="15" t="s">
        <v>111</v>
      </c>
      <c r="D33" s="13" t="s">
        <v>21</v>
      </c>
      <c r="E33" s="13" t="s">
        <v>21</v>
      </c>
      <c r="F33" s="15" t="s">
        <v>112</v>
      </c>
      <c r="G33" s="15" t="s">
        <v>44</v>
      </c>
    </row>
    <row r="34" spans="1:7" ht="24" customHeight="1" x14ac:dyDescent="0.25">
      <c r="A34" s="10" t="s">
        <v>113</v>
      </c>
      <c r="B34" s="11" t="s">
        <v>114</v>
      </c>
      <c r="C34" s="12" t="s">
        <v>115</v>
      </c>
      <c r="D34" s="10" t="s">
        <v>86</v>
      </c>
      <c r="E34" s="10" t="s">
        <v>21</v>
      </c>
      <c r="F34" s="12" t="s">
        <v>87</v>
      </c>
      <c r="G34" s="12" t="s">
        <v>30</v>
      </c>
    </row>
    <row r="35" spans="1:7" ht="24" customHeight="1" x14ac:dyDescent="0.25">
      <c r="A35" s="10" t="s">
        <v>116</v>
      </c>
      <c r="B35" s="11" t="s">
        <v>117</v>
      </c>
      <c r="C35" s="12" t="s">
        <v>118</v>
      </c>
      <c r="D35" s="10" t="s">
        <v>86</v>
      </c>
      <c r="E35" s="10" t="s">
        <v>21</v>
      </c>
      <c r="F35" s="12" t="s">
        <v>87</v>
      </c>
      <c r="G35" s="12" t="s">
        <v>30</v>
      </c>
    </row>
    <row r="36" spans="1:7" ht="24" customHeight="1" x14ac:dyDescent="0.25">
      <c r="A36" s="13" t="s">
        <v>119</v>
      </c>
      <c r="B36" s="14" t="s">
        <v>120</v>
      </c>
      <c r="C36" s="15" t="s">
        <v>121</v>
      </c>
      <c r="D36" s="13" t="s">
        <v>21</v>
      </c>
      <c r="E36" s="13" t="s">
        <v>21</v>
      </c>
      <c r="F36" s="15" t="s">
        <v>43</v>
      </c>
      <c r="G36" s="15" t="s">
        <v>44</v>
      </c>
    </row>
    <row r="37" spans="1:7" ht="24" customHeight="1" x14ac:dyDescent="0.25">
      <c r="A37" s="7" t="s">
        <v>122</v>
      </c>
      <c r="B37" s="8" t="s">
        <v>123</v>
      </c>
      <c r="C37" s="9" t="s">
        <v>124</v>
      </c>
      <c r="D37" s="7" t="s">
        <v>27</v>
      </c>
      <c r="E37" s="7" t="s">
        <v>21</v>
      </c>
      <c r="F37" s="9" t="s">
        <v>125</v>
      </c>
      <c r="G37" s="9" t="s">
        <v>23</v>
      </c>
    </row>
    <row r="38" spans="1:7" ht="24" customHeight="1" x14ac:dyDescent="0.25">
      <c r="A38" s="2" t="s">
        <v>126</v>
      </c>
      <c r="B38" s="3" t="s">
        <v>127</v>
      </c>
      <c r="C38" s="4" t="s">
        <v>128</v>
      </c>
      <c r="D38" s="2" t="s">
        <v>129</v>
      </c>
      <c r="E38" s="2" t="s">
        <v>21</v>
      </c>
      <c r="F38" s="4" t="s">
        <v>130</v>
      </c>
      <c r="G38" s="4" t="s">
        <v>131</v>
      </c>
    </row>
    <row r="39" spans="1:7" ht="24" customHeight="1" x14ac:dyDescent="0.25">
      <c r="A39" s="13" t="s">
        <v>132</v>
      </c>
      <c r="B39" s="14" t="s">
        <v>133</v>
      </c>
      <c r="C39" s="15" t="s">
        <v>134</v>
      </c>
      <c r="D39" s="13" t="s">
        <v>135</v>
      </c>
      <c r="E39" s="13" t="s">
        <v>21</v>
      </c>
      <c r="F39" s="15" t="s">
        <v>136</v>
      </c>
      <c r="G39" s="15" t="s">
        <v>44</v>
      </c>
    </row>
    <row r="40" spans="1:7" ht="24" customHeight="1" x14ac:dyDescent="0.25">
      <c r="A40" s="5" t="s">
        <v>137</v>
      </c>
      <c r="B40" s="5" t="s">
        <v>138</v>
      </c>
      <c r="C40" s="6" t="s">
        <v>12</v>
      </c>
      <c r="D40" s="5" t="s">
        <v>12</v>
      </c>
      <c r="E40" s="5" t="s">
        <v>12</v>
      </c>
      <c r="F40" s="6" t="s">
        <v>73</v>
      </c>
      <c r="G40" s="6" t="s">
        <v>17</v>
      </c>
    </row>
    <row r="41" spans="1:7" ht="24" customHeight="1" x14ac:dyDescent="0.25">
      <c r="A41" s="5" t="s">
        <v>139</v>
      </c>
      <c r="B41" s="5" t="s">
        <v>140</v>
      </c>
      <c r="C41" s="6" t="s">
        <v>12</v>
      </c>
      <c r="D41" s="5" t="s">
        <v>12</v>
      </c>
      <c r="E41" s="5" t="s">
        <v>12</v>
      </c>
      <c r="F41" s="6" t="s">
        <v>73</v>
      </c>
      <c r="G41" s="6" t="s">
        <v>17</v>
      </c>
    </row>
    <row r="42" spans="1:7" ht="24" customHeight="1" x14ac:dyDescent="0.25">
      <c r="A42" s="5" t="s">
        <v>141</v>
      </c>
      <c r="B42" s="5" t="s">
        <v>142</v>
      </c>
      <c r="C42" s="6" t="s">
        <v>12</v>
      </c>
      <c r="D42" s="5" t="s">
        <v>12</v>
      </c>
      <c r="E42" s="5" t="s">
        <v>12</v>
      </c>
      <c r="F42" s="6" t="s">
        <v>73</v>
      </c>
      <c r="G42" s="6" t="s">
        <v>17</v>
      </c>
    </row>
    <row r="44" spans="1:7" x14ac:dyDescent="0.25">
      <c r="A44" s="24" t="s">
        <v>143</v>
      </c>
    </row>
    <row r="45" spans="1:7" ht="15" customHeight="1" x14ac:dyDescent="0.25">
      <c r="B45" s="25" t="s">
        <v>14</v>
      </c>
      <c r="D45" s="26" t="s">
        <v>144</v>
      </c>
    </row>
    <row r="46" spans="1:7" ht="15" customHeight="1" x14ac:dyDescent="0.25">
      <c r="B46" s="27" t="s">
        <v>66</v>
      </c>
    </row>
    <row r="47" spans="1:7" ht="15" customHeight="1" x14ac:dyDescent="0.25">
      <c r="B47" s="28" t="s">
        <v>92</v>
      </c>
    </row>
    <row r="48" spans="1:7" ht="15" customHeight="1" x14ac:dyDescent="0.25">
      <c r="B48" s="29" t="s">
        <v>23</v>
      </c>
    </row>
    <row r="49" spans="1:3" ht="15" customHeight="1" x14ac:dyDescent="0.25">
      <c r="B49" s="30" t="s">
        <v>44</v>
      </c>
    </row>
    <row r="50" spans="1:3" ht="15" customHeight="1" x14ac:dyDescent="0.25">
      <c r="B50" s="31" t="s">
        <v>30</v>
      </c>
    </row>
    <row r="51" spans="1:3" ht="15" customHeight="1" x14ac:dyDescent="0.25">
      <c r="B51" s="25" t="s">
        <v>131</v>
      </c>
    </row>
    <row r="52" spans="1:3" ht="15" customHeight="1" x14ac:dyDescent="0.25">
      <c r="B52" s="32" t="s">
        <v>17</v>
      </c>
    </row>
    <row r="54" spans="1:3" x14ac:dyDescent="0.25">
      <c r="A54" s="24" t="s">
        <v>145</v>
      </c>
    </row>
    <row r="55" spans="1:3" ht="14.1" customHeight="1" x14ac:dyDescent="0.25">
      <c r="A55" s="33" t="s">
        <v>146</v>
      </c>
      <c r="C55" s="34">
        <f>COUNTIFS(D5:D42,"&lt;&gt;no*",D5:D42,"&lt;&gt;—")</f>
        <v>6</v>
      </c>
    </row>
    <row r="56" spans="1:3" ht="14.1" customHeight="1" x14ac:dyDescent="0.25">
      <c r="A56" s="33" t="s">
        <v>147</v>
      </c>
      <c r="C56" s="34">
        <f>COUNTIFS(E5:E42,"&lt;&gt;no*",E5:E42,"&lt;&gt;—")</f>
        <v>2</v>
      </c>
    </row>
    <row r="57" spans="1:3" ht="14.1" customHeight="1" x14ac:dyDescent="0.25">
      <c r="A57" s="33" t="s">
        <v>148</v>
      </c>
      <c r="C57" s="34">
        <f>COUNTIF(G5:G42,"&lt;&gt;Not used")-COUNTIF(G5:G42,"Power")-COUNTIF(G5:G42,"Ground (GND)")</f>
        <v>23</v>
      </c>
    </row>
    <row r="58" spans="1:3" ht="14.1" customHeight="1" x14ac:dyDescent="0.25">
      <c r="A58" s="33" t="s">
        <v>149</v>
      </c>
      <c r="C58" s="34">
        <f>COUNTIF(G5:G42,"Button")</f>
        <v>7</v>
      </c>
    </row>
    <row r="59" spans="1:3" ht="14.1" customHeight="1" x14ac:dyDescent="0.25">
      <c r="A59" s="33" t="s">
        <v>150</v>
      </c>
      <c r="C59" s="34">
        <f>COUNTIF(G5:G42,"Relay")</f>
        <v>9</v>
      </c>
    </row>
  </sheetData>
  <autoFilter ref="A4:G42"/>
  <mergeCells count="2">
    <mergeCell ref="A2:G2"/>
    <mergeCell ref="A1:G1"/>
  </mergeCells>
  <pageMargins left="0.4" right="0.4" top="0.5" bottom="0.5" header="0.2" footer="0.2"/>
  <pageSetup paperSize="9" fitToHeight="0" orientation="landscape"/>
  <headerFooter>
    <oddFooter>&amp;L&amp;8 SmartGreenhouse — ESP32 pinout (v6.2)&amp;R&amp;8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GPIO pinout</vt:lpstr>
      <vt:lpstr>'GPIO pinout'!Заголовки_для_печати</vt:lpstr>
      <vt:lpstr>'GPIO pinout'!Область_печати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 КЗПМ</cp:lastModifiedBy>
  <dcterms:created xsi:type="dcterms:W3CDTF">2026-08-20T11:02:45Z</dcterms:created>
  <dcterms:modified xsi:type="dcterms:W3CDTF">2026-08-20T12:23:34Z</dcterms:modified>
</cp:coreProperties>
</file>